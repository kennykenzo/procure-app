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80" activeTab="1"/>
  </bookViews>
  <sheets>
    <sheet name="STOCK" sheetId="1" r:id="rId1"/>
    <sheet name="Materials in" sheetId="2" r:id="rId2"/>
    <sheet name="Materilas out" sheetId="3" r:id="rId3"/>
    <sheet name="Sheet1" sheetId="4" r:id="rId4"/>
  </sheets>
  <definedNames>
    <definedName name="_xlnm._FilterDatabase" localSheetId="0" hidden="1">STOCK!$B$36:$D$71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<sst xmlns="http://schemas.openxmlformats.org/spreadsheetml/2006/main" count="348" uniqueCount="108">
  <si>
    <t>Item</t>
  </si>
  <si>
    <t>Description</t>
  </si>
  <si>
    <t>Unit</t>
  </si>
  <si>
    <t>stock now</t>
  </si>
  <si>
    <t>Quantity</t>
  </si>
  <si>
    <t xml:space="preserve">Suspension 2 way Hooks </t>
  </si>
  <si>
    <t>each</t>
  </si>
  <si>
    <t xml:space="preserve">Suspension Triple Hooks </t>
  </si>
  <si>
    <t>Large X Bracket (Galvanized)600*600</t>
  </si>
  <si>
    <t>Large X Bracket (Galvanized)400*400</t>
  </si>
  <si>
    <t>Distribution slack bracket</t>
  </si>
  <si>
    <t>Each</t>
  </si>
  <si>
    <t>STEEL Strapping 9.5mmx0.5mm (Labels- 1 Strap per Wooden Pole) (30m p. Box)</t>
  </si>
  <si>
    <t>Box</t>
  </si>
  <si>
    <t>STEEL Buckles 9.5mm (Labels-  1 Buckle per Wooden Poles) (100 p. Box)</t>
  </si>
  <si>
    <t xml:space="preserve">STEEL Strapping 19mmx0.5mm (Bosal- 4 Straps per Pole) (30m p. Box) </t>
  </si>
  <si>
    <t>STEEL Buckles 19mm (Bosal- 4 Buckles per Pole) (100 p. Box)</t>
  </si>
  <si>
    <t xml:space="preserve"> D/END  4.8-6.2mm </t>
  </si>
  <si>
    <t xml:space="preserve"> D/END  6-8mm </t>
  </si>
  <si>
    <t xml:space="preserve"> D/END  9.2-9.5mm </t>
  </si>
  <si>
    <t xml:space="preserve"> D/END 9.5-10.5mm </t>
  </si>
  <si>
    <t xml:space="preserve"> D/END  15.6-17.3mm </t>
  </si>
  <si>
    <t>5+1 dome joint</t>
  </si>
  <si>
    <t xml:space="preserve">Drop Cable Closure  Cs External Multi Drop Closure | 36 Fibre | 4 x Adaptor Holders MDC </t>
  </si>
  <si>
    <t>Feeder Enclosure Corning Enclosure BPEO -S1.5-FDP-DROP N501846A/CMJ</t>
  </si>
  <si>
    <t>LMJ</t>
  </si>
  <si>
    <t>Duplex Mid Couplers LC-LC(UPC)</t>
  </si>
  <si>
    <t>Duplex Mid Couplers LC-LC(APC)</t>
  </si>
  <si>
    <t xml:space="preserve">Cartridge  19.1mm </t>
  </si>
  <si>
    <t xml:space="preserve">Cartriage  9.5mm </t>
  </si>
  <si>
    <t>Splice Protectors-FMSP</t>
  </si>
  <si>
    <t xml:space="preserve"> SPLITTER BARE SM 1-2 (APC)</t>
  </si>
  <si>
    <t xml:space="preserve"> SPLITTER BARE SM 1-8  (APC)</t>
  </si>
  <si>
    <t xml:space="preserve"> SPLITTER BARE SM 1-16   (APC)</t>
  </si>
  <si>
    <t xml:space="preserve"> SPLITTER BARE SM 1-32 (APC)</t>
  </si>
  <si>
    <t xml:space="preserve"> SPLITTER PRECONNECTERISSED SM 1-8  (UPC)</t>
  </si>
  <si>
    <t xml:space="preserve"> SPLITTER PRECONNECTERISSED SM 1-4  (APC)</t>
  </si>
  <si>
    <t xml:space="preserve"> SPLITTER PRECONNECTERISSED SM 1-8  (APC)</t>
  </si>
  <si>
    <t>12F  Mini Adss cable / Distribution 2KM&amp;4KM / per roll</t>
  </si>
  <si>
    <t>m</t>
  </si>
  <si>
    <t>24F  Mini Adss cable / Distribution 2KM&amp;4KM / per roll</t>
  </si>
  <si>
    <t>72F Mini Adss cable / Feeder 2KM&amp;4KM / per roll</t>
  </si>
  <si>
    <t>144F Mini Adss cable / Feeder 2KM&amp;4KM / per roll</t>
  </si>
  <si>
    <t>date</t>
  </si>
  <si>
    <t>144F DOME JOINT CMJ</t>
  </si>
  <si>
    <t xml:space="preserve"> SPLITTER BARE SM 1-2</t>
  </si>
  <si>
    <t xml:space="preserve"> SPLITTER BARE SM 1-8 </t>
  </si>
  <si>
    <t xml:space="preserve"> SPLITTER BARE SM 1-16  </t>
  </si>
  <si>
    <t xml:space="preserve"> SPLITTER BARE SM 1-32</t>
  </si>
  <si>
    <t>MDC plastic pole/wall mount bracket kiy</t>
  </si>
  <si>
    <t>strapping s/s 9,5mm x 0,5mm ( 30mt roll)</t>
  </si>
  <si>
    <t xml:space="preserve">each </t>
  </si>
  <si>
    <t>buckles s/s 9,5mm x 9,5mm x 0,5mm (100 per box)</t>
  </si>
  <si>
    <t>strapping s/s 19mm x 0,5mm (30mt roll)</t>
  </si>
  <si>
    <t xml:space="preserve">buckles s/s19mm x x0,5mm 0,5mm (100 per box) </t>
  </si>
  <si>
    <t xml:space="preserve">box </t>
  </si>
  <si>
    <t xml:space="preserve">  </t>
  </si>
  <si>
    <t>buckles  s/s 19mm x 0,5mm ( 100 per box )</t>
  </si>
  <si>
    <t xml:space="preserve">Box </t>
  </si>
  <si>
    <t>bukles s/s 9,5mm x 0,5mm ( 100 per box)</t>
  </si>
  <si>
    <t>box</t>
  </si>
  <si>
    <t>strapping s/s 9,5mmx 0,5mm (30  mt roll</t>
  </si>
  <si>
    <t>2way galvanised angle hook-double ( herotel spec)</t>
  </si>
  <si>
    <t xml:space="preserve">3 ways galvanised suspension hook-triple </t>
  </si>
  <si>
    <t xml:space="preserve">ea ch </t>
  </si>
  <si>
    <t xml:space="preserve">slack bracket 450x450mm galvinsed  </t>
  </si>
  <si>
    <t>3 ways  galvanised suspension hook-triple</t>
  </si>
  <si>
    <t xml:space="preserve">slack brackets 600 x x600mm galvanised </t>
  </si>
  <si>
    <t xml:space="preserve">Slack  bracket 450x450 galvanised </t>
  </si>
  <si>
    <t xml:space="preserve">buckles s/s 9.5 x 0,5 ( 100 per box) </t>
  </si>
  <si>
    <t xml:space="preserve">strapping 19mm x 0,5 ( 100 per box) </t>
  </si>
  <si>
    <t>buckles s/s 19mm x x0,5mm (100 per box)</t>
  </si>
  <si>
    <t xml:space="preserve">meganent duct coupling micro pressure 14mm </t>
  </si>
  <si>
    <t>2 way galvanised angle hook- double (herotel spec)</t>
  </si>
  <si>
    <t xml:space="preserve">3 way galvanised suspension hook-triple </t>
  </si>
  <si>
    <t xml:space="preserve">slcak bracket 600 x 600mm galvanised </t>
  </si>
  <si>
    <t>48fF SPLICE  CLOSURE MDC -V2- 48F</t>
  </si>
  <si>
    <t xml:space="preserve">72F SPLICE CLOSURE CWKT- MDC -V2-72F </t>
  </si>
  <si>
    <t>M8 Microloop joint 48f splice 8 drops NG</t>
  </si>
  <si>
    <t xml:space="preserve">Slack Bins </t>
  </si>
  <si>
    <t>mix plastic pole/wall mount bracket</t>
  </si>
  <si>
    <t xml:space="preserve">buckles </t>
  </si>
  <si>
    <t xml:space="preserve">slack bracket </t>
  </si>
  <si>
    <t xml:space="preserve">MDC JOINT </t>
  </si>
  <si>
    <t xml:space="preserve">CMJ DOME JOINT </t>
  </si>
  <si>
    <t xml:space="preserve">BRACKET </t>
  </si>
  <si>
    <t>Fiber Optic Transceiver</t>
  </si>
  <si>
    <t>光纤收发器</t>
  </si>
  <si>
    <t>PAIR</t>
  </si>
  <si>
    <t>单模单纤</t>
  </si>
  <si>
    <t>cable</t>
  </si>
  <si>
    <t>光纤</t>
  </si>
  <si>
    <t>M</t>
  </si>
  <si>
    <t>12F</t>
  </si>
  <si>
    <t>Fiber Optic Splice Closure</t>
  </si>
  <si>
    <t>光纤终端熔接盒</t>
  </si>
  <si>
    <t>EACH</t>
  </si>
  <si>
    <t>国标4口</t>
  </si>
  <si>
    <t>Fiber Splice Closure</t>
  </si>
  <si>
    <t>光纤续接盒</t>
  </si>
  <si>
    <t>国标</t>
  </si>
  <si>
    <t>Optical Patch Cord</t>
  </si>
  <si>
    <t>光纤跳线</t>
  </si>
  <si>
    <t>SC.LC 2M</t>
  </si>
  <si>
    <t>光纤尾纤</t>
  </si>
  <si>
    <t>SC/LC 1M</t>
  </si>
  <si>
    <t>光纤法兰盘</t>
  </si>
  <si>
    <t>SC/LC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</si>
</sst>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m/d"/>
  </numFmts>
  <fonts count="31">
    <font>
      <sz val="11"/>
      <color rgb="FF000000"/>
      <name val="SimSu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4"/>
      <color theme="1"/>
      <name val="Times New Roman"/>
      <charset val="134"/>
    </font>
    <font>
      <sz val="14"/>
      <name val="Times New Roman"/>
      <charset val="134"/>
    </font>
    <font>
      <sz val="14"/>
      <color rgb="FF000000"/>
      <name val="Times New Roman"/>
      <charset val="134"/>
    </font>
    <font>
      <b/>
      <sz val="14"/>
      <color theme="1"/>
      <name val="Times New Roman"/>
      <charset val="134"/>
    </font>
    <font>
      <b/>
      <sz val="14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5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58" fontId="0" fillId="0" borderId="1" xfId="0" applyNumberFormat="1" applyBorder="1" applyAlignment="1">
      <alignment horizontal="center"/>
    </xf>
    <xf numFmtId="0" fontId="0" fillId="2" borderId="0" xfId="0" applyFill="1"/>
    <xf numFmtId="0" fontId="0" fillId="0" borderId="1" xfId="0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1" xfId="0" applyBorder="1" applyAlignment="1">
      <alignment horizontal="left"/>
    </xf>
    <xf numFmtId="180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E44"/>
  <sheetViews>
    <sheetView zoomScale="85" zoomScaleNormal="85" zoomScaleSheetLayoutView="55" workbookViewId="0">
      <selection activeCell="C1" sqref="C$1:C$1048576"/>
    </sheetView>
  </sheetViews>
  <sheetFormatPr defaultColWidth="9" defaultRowHeight="16.8" outlineLevelCol="4"/>
  <cols>
    <col min="1" max="1" width="6.33653846153846" style="35" customWidth="1"/>
    <col min="2" max="2" width="106.336538461538" style="36" customWidth="1"/>
    <col min="3" max="3" width="7.77884615384615" style="35" customWidth="1"/>
    <col min="4" max="4" width="14" style="35" customWidth="1"/>
    <col min="5" max="5" width="11.5576923076923" style="35" customWidth="1"/>
    <col min="6" max="16384" width="9" style="35"/>
  </cols>
  <sheetData>
    <row r="1" spans="1:5">
      <c r="A1" s="37" t="s">
        <v>0</v>
      </c>
      <c r="B1" s="38" t="s">
        <v>1</v>
      </c>
      <c r="C1" s="37" t="s">
        <v>2</v>
      </c>
      <c r="D1" s="39" t="s">
        <v>3</v>
      </c>
      <c r="E1" s="52" t="s">
        <v>4</v>
      </c>
    </row>
    <row r="2" spans="1:5">
      <c r="A2" s="37"/>
      <c r="B2" s="38"/>
      <c r="C2" s="37"/>
      <c r="D2" s="39"/>
      <c r="E2" s="52"/>
    </row>
    <row r="3" ht="28.05" customHeight="1" spans="1:5">
      <c r="A3" s="37">
        <v>1</v>
      </c>
      <c r="B3" s="40" t="s">
        <v>5</v>
      </c>
      <c r="C3" s="37" t="s">
        <v>6</v>
      </c>
      <c r="D3" s="41">
        <v>6600</v>
      </c>
      <c r="E3" s="53">
        <f>D3+'Materials in'!D3-'Materilas out'!D3</f>
        <v>7674</v>
      </c>
    </row>
    <row r="4" ht="28.05" customHeight="1" spans="1:5">
      <c r="A4" s="37">
        <v>2</v>
      </c>
      <c r="B4" s="40" t="s">
        <v>7</v>
      </c>
      <c r="C4" s="37" t="s">
        <v>6</v>
      </c>
      <c r="D4" s="41">
        <v>2340</v>
      </c>
      <c r="E4" s="53">
        <f>D4+'Materials in'!D4-'Materilas out'!D4</f>
        <v>2190</v>
      </c>
    </row>
    <row r="5" ht="28.05" customHeight="1" spans="1:5">
      <c r="A5" s="37">
        <v>3</v>
      </c>
      <c r="B5" s="40" t="s">
        <v>8</v>
      </c>
      <c r="C5" s="37" t="s">
        <v>6</v>
      </c>
      <c r="D5" s="41">
        <v>75</v>
      </c>
      <c r="E5" s="53">
        <f>D5+'Materials in'!D5-'Materilas out'!D5</f>
        <v>468</v>
      </c>
    </row>
    <row r="6" ht="28.05" customHeight="1" spans="1:5">
      <c r="A6" s="37">
        <v>4</v>
      </c>
      <c r="B6" s="40" t="s">
        <v>9</v>
      </c>
      <c r="C6" s="37" t="s">
        <v>6</v>
      </c>
      <c r="D6" s="41">
        <v>230</v>
      </c>
      <c r="E6" s="53">
        <f>D6+'Materials in'!D6-'Materilas out'!D6</f>
        <v>318</v>
      </c>
    </row>
    <row r="7" ht="28.05" customHeight="1" spans="1:5">
      <c r="A7" s="37">
        <v>5</v>
      </c>
      <c r="B7" s="42" t="s">
        <v>10</v>
      </c>
      <c r="C7" s="37" t="s">
        <v>11</v>
      </c>
      <c r="D7" s="37">
        <v>0</v>
      </c>
      <c r="E7" s="53">
        <f>D7+'Materials in'!D7-'Materilas out'!D7</f>
        <v>0</v>
      </c>
    </row>
    <row r="8" ht="28.05" customHeight="1" spans="1:5">
      <c r="A8" s="37">
        <v>6</v>
      </c>
      <c r="B8" s="40" t="s">
        <v>12</v>
      </c>
      <c r="C8" s="37" t="s">
        <v>13</v>
      </c>
      <c r="D8" s="41">
        <v>0</v>
      </c>
      <c r="E8" s="53">
        <f>D8+'Materials in'!D8-'Materilas out'!D8</f>
        <v>102</v>
      </c>
    </row>
    <row r="9" ht="28.05" customHeight="1" spans="1:5">
      <c r="A9" s="37">
        <v>7</v>
      </c>
      <c r="B9" s="40" t="s">
        <v>14</v>
      </c>
      <c r="C9" s="37" t="s">
        <v>13</v>
      </c>
      <c r="D9" s="41">
        <v>29</v>
      </c>
      <c r="E9" s="53">
        <f>D9+'Materials in'!D9-'Materilas out'!D9</f>
        <v>91</v>
      </c>
    </row>
    <row r="10" ht="28.05" customHeight="1" spans="1:5">
      <c r="A10" s="37">
        <v>8</v>
      </c>
      <c r="B10" s="40" t="s">
        <v>15</v>
      </c>
      <c r="C10" s="37" t="s">
        <v>13</v>
      </c>
      <c r="D10" s="41">
        <v>130</v>
      </c>
      <c r="E10" s="53">
        <f>D10+'Materials in'!D10-'Materilas out'!D10</f>
        <v>38</v>
      </c>
    </row>
    <row r="11" ht="28.05" customHeight="1" spans="1:5">
      <c r="A11" s="37">
        <v>9</v>
      </c>
      <c r="B11" s="40" t="s">
        <v>16</v>
      </c>
      <c r="C11" s="37" t="s">
        <v>13</v>
      </c>
      <c r="D11" s="41">
        <v>183</v>
      </c>
      <c r="E11" s="53">
        <f>D11+'Materials in'!D11-'Materilas out'!D11</f>
        <v>82</v>
      </c>
    </row>
    <row r="12" ht="28.05" customHeight="1" spans="1:5">
      <c r="A12" s="37">
        <v>10</v>
      </c>
      <c r="B12" s="40" t="s">
        <v>17</v>
      </c>
      <c r="C12" s="37" t="s">
        <v>6</v>
      </c>
      <c r="D12" s="41">
        <v>2520</v>
      </c>
      <c r="E12" s="53">
        <f>D12+'Materials in'!D12-'Materilas out'!D12</f>
        <v>3420</v>
      </c>
    </row>
    <row r="13" ht="28.05" customHeight="1" spans="1:5">
      <c r="A13" s="37">
        <v>11</v>
      </c>
      <c r="B13" s="40" t="s">
        <v>18</v>
      </c>
      <c r="C13" s="37" t="s">
        <v>6</v>
      </c>
      <c r="D13" s="41">
        <v>7400</v>
      </c>
      <c r="E13" s="53">
        <f>D13+'Materials in'!D13-'Materilas out'!D13</f>
        <v>4200</v>
      </c>
    </row>
    <row r="14" ht="28.05" customHeight="1" spans="1:5">
      <c r="A14" s="37">
        <v>12</v>
      </c>
      <c r="B14" s="40" t="s">
        <v>19</v>
      </c>
      <c r="C14" s="37" t="s">
        <v>6</v>
      </c>
      <c r="D14" s="41">
        <v>63</v>
      </c>
      <c r="E14" s="53">
        <f>D14+'Materials in'!D14-'Materilas out'!D14</f>
        <v>243</v>
      </c>
    </row>
    <row r="15" ht="28.05" customHeight="1" spans="1:5">
      <c r="A15" s="37">
        <v>13</v>
      </c>
      <c r="B15" s="40" t="s">
        <v>20</v>
      </c>
      <c r="C15" s="37" t="s">
        <v>6</v>
      </c>
      <c r="D15" s="41">
        <v>20</v>
      </c>
      <c r="E15" s="53">
        <f>D15+'Materials in'!D15-'Materilas out'!D15</f>
        <v>20</v>
      </c>
    </row>
    <row r="16" ht="28.05" customHeight="1" spans="1:5">
      <c r="A16" s="37">
        <v>14</v>
      </c>
      <c r="B16" s="40" t="s">
        <v>21</v>
      </c>
      <c r="C16" s="37" t="s">
        <v>6</v>
      </c>
      <c r="D16" s="41">
        <v>33</v>
      </c>
      <c r="E16" s="53">
        <f>D16+'Materials in'!D16-'Materilas out'!D16</f>
        <v>33</v>
      </c>
    </row>
    <row r="17" ht="28.05" customHeight="1" spans="1:5">
      <c r="A17" s="37">
        <v>15</v>
      </c>
      <c r="B17" s="43" t="s">
        <v>22</v>
      </c>
      <c r="C17" s="37" t="s">
        <v>6</v>
      </c>
      <c r="D17" s="41">
        <v>0</v>
      </c>
      <c r="E17" s="53">
        <f>D17+'Materials in'!D17-'Materilas out'!D17</f>
        <v>-120</v>
      </c>
    </row>
    <row r="18" ht="28.05" customHeight="1" spans="1:5">
      <c r="A18" s="37">
        <v>16</v>
      </c>
      <c r="B18" s="43" t="s">
        <v>23</v>
      </c>
      <c r="C18" s="37" t="s">
        <v>6</v>
      </c>
      <c r="D18" s="41">
        <v>0</v>
      </c>
      <c r="E18" s="53">
        <f>D18+'Materials in'!D19-'Materilas out'!D18</f>
        <v>756</v>
      </c>
    </row>
    <row r="19" ht="28.05" customHeight="1" spans="1:5">
      <c r="A19" s="37">
        <v>17</v>
      </c>
      <c r="B19" s="44" t="s">
        <v>24</v>
      </c>
      <c r="C19" s="37" t="s">
        <v>6</v>
      </c>
      <c r="D19" s="37">
        <v>159</v>
      </c>
      <c r="E19" s="53">
        <f>D19+'Materials in'!D20-'Materilas out'!D19</f>
        <v>109</v>
      </c>
    </row>
    <row r="20" ht="28.05" customHeight="1" spans="1:5">
      <c r="A20" s="37">
        <v>18</v>
      </c>
      <c r="B20" s="45" t="s">
        <v>25</v>
      </c>
      <c r="C20" s="37" t="s">
        <v>6</v>
      </c>
      <c r="D20" s="37">
        <f>11+9</f>
        <v>20</v>
      </c>
      <c r="E20" s="53">
        <f>D20+'Materials in'!D21-'Materilas out'!D20</f>
        <v>20</v>
      </c>
    </row>
    <row r="21" ht="28.05" customHeight="1" spans="1:5">
      <c r="A21" s="37">
        <v>19</v>
      </c>
      <c r="B21" s="46" t="s">
        <v>26</v>
      </c>
      <c r="C21" s="37" t="s">
        <v>6</v>
      </c>
      <c r="D21" s="47">
        <v>2100</v>
      </c>
      <c r="E21" s="53">
        <f>D21+'Materials in'!D22-'Materilas out'!D21</f>
        <v>1300</v>
      </c>
    </row>
    <row r="22" ht="28.05" customHeight="1" spans="1:5">
      <c r="A22" s="37">
        <v>20</v>
      </c>
      <c r="B22" s="46" t="s">
        <v>27</v>
      </c>
      <c r="C22" s="37" t="s">
        <v>6</v>
      </c>
      <c r="D22" s="47">
        <v>2579</v>
      </c>
      <c r="E22" s="53">
        <f>D22+'Materials in'!D23-'Materilas out'!D22</f>
        <v>1579</v>
      </c>
    </row>
    <row r="23" ht="28.05" customHeight="1" spans="1:5">
      <c r="A23" s="37">
        <v>21</v>
      </c>
      <c r="B23" s="46" t="s">
        <v>28</v>
      </c>
      <c r="C23" s="37" t="s">
        <v>6</v>
      </c>
      <c r="D23" s="47">
        <v>255</v>
      </c>
      <c r="E23" s="53">
        <f>D23+'Materials in'!D24-'Materilas out'!D23</f>
        <v>155</v>
      </c>
    </row>
    <row r="24" ht="28.05" customHeight="1" spans="1:5">
      <c r="A24" s="37">
        <v>22</v>
      </c>
      <c r="B24" s="46" t="s">
        <v>29</v>
      </c>
      <c r="C24" s="37" t="s">
        <v>6</v>
      </c>
      <c r="D24" s="47">
        <v>216</v>
      </c>
      <c r="E24" s="53">
        <f>D24+'Materials in'!D25-'Materilas out'!D24</f>
        <v>81</v>
      </c>
    </row>
    <row r="25" ht="28.05" customHeight="1" spans="1:5">
      <c r="A25" s="37">
        <v>23</v>
      </c>
      <c r="B25" s="46" t="s">
        <v>30</v>
      </c>
      <c r="C25" s="37" t="s">
        <v>6</v>
      </c>
      <c r="D25" s="47">
        <v>7020</v>
      </c>
      <c r="E25" s="53">
        <f>D25+'Materials in'!D26-'Materilas out'!D25</f>
        <v>4220</v>
      </c>
    </row>
    <row r="26" ht="28.05" customHeight="1" spans="1:5">
      <c r="A26" s="37">
        <v>24</v>
      </c>
      <c r="B26" s="43" t="s">
        <v>31</v>
      </c>
      <c r="C26" s="37" t="s">
        <v>6</v>
      </c>
      <c r="D26" s="47">
        <v>6</v>
      </c>
      <c r="E26" s="53">
        <f>D26+'Materials in'!D27-'Materilas out'!D26</f>
        <v>6</v>
      </c>
    </row>
    <row r="27" ht="28.05" customHeight="1" spans="1:5">
      <c r="A27" s="37">
        <v>25</v>
      </c>
      <c r="B27" s="43" t="s">
        <v>32</v>
      </c>
      <c r="C27" s="37" t="s">
        <v>6</v>
      </c>
      <c r="D27" s="47">
        <v>111</v>
      </c>
      <c r="E27" s="53">
        <f>D27+'Materials in'!D28-'Materilas out'!D27</f>
        <v>112</v>
      </c>
    </row>
    <row r="28" ht="28.05" customHeight="1" spans="1:5">
      <c r="A28" s="37">
        <v>26</v>
      </c>
      <c r="B28" s="43" t="s">
        <v>33</v>
      </c>
      <c r="C28" s="37" t="s">
        <v>6</v>
      </c>
      <c r="D28" s="47">
        <v>0</v>
      </c>
      <c r="E28" s="53">
        <f>D28+'Materials in'!D29-'Materilas out'!D28</f>
        <v>0</v>
      </c>
    </row>
    <row r="29" ht="28.05" customHeight="1" spans="1:5">
      <c r="A29" s="37">
        <v>27</v>
      </c>
      <c r="B29" s="43" t="s">
        <v>34</v>
      </c>
      <c r="C29" s="37" t="s">
        <v>6</v>
      </c>
      <c r="D29" s="47">
        <v>13</v>
      </c>
      <c r="E29" s="53">
        <f>D29+'Materials in'!D30-'Materilas out'!D29</f>
        <v>13</v>
      </c>
    </row>
    <row r="30" s="34" customFormat="1" ht="28.05" customHeight="1" spans="1:5">
      <c r="A30" s="48">
        <v>28</v>
      </c>
      <c r="B30" s="49" t="s">
        <v>35</v>
      </c>
      <c r="C30" s="48" t="s">
        <v>6</v>
      </c>
      <c r="D30" s="50">
        <v>247</v>
      </c>
      <c r="E30" s="54">
        <f>D30+'Materials in'!D31-'Materilas out'!D30</f>
        <v>506</v>
      </c>
    </row>
    <row r="31" ht="28.05" customHeight="1" spans="1:5">
      <c r="A31" s="37">
        <v>29</v>
      </c>
      <c r="B31" s="43" t="s">
        <v>36</v>
      </c>
      <c r="C31" s="37" t="s">
        <v>6</v>
      </c>
      <c r="D31" s="47">
        <v>28</v>
      </c>
      <c r="E31" s="53">
        <f>D31+'Materials in'!D32-'Materilas out'!D31</f>
        <v>28</v>
      </c>
    </row>
    <row r="32" ht="28.05" customHeight="1" spans="1:5">
      <c r="A32" s="37">
        <v>30</v>
      </c>
      <c r="B32" s="43" t="s">
        <v>37</v>
      </c>
      <c r="C32" s="37" t="s">
        <v>6</v>
      </c>
      <c r="D32" s="47">
        <v>320</v>
      </c>
      <c r="E32" s="53">
        <f>D32+'Materials in'!D33-'Materilas out'!D32</f>
        <v>0</v>
      </c>
    </row>
    <row r="33" ht="28.05" customHeight="1" spans="1:5">
      <c r="A33" s="37">
        <v>31</v>
      </c>
      <c r="B33" s="51" t="s">
        <v>38</v>
      </c>
      <c r="C33" s="37" t="s">
        <v>39</v>
      </c>
      <c r="D33" s="47">
        <v>0</v>
      </c>
      <c r="E33" s="53">
        <f>D33+'Materials in'!D34-'Materilas out'!D33</f>
        <v>0</v>
      </c>
    </row>
    <row r="34" ht="28.05" customHeight="1" spans="1:5">
      <c r="A34" s="37">
        <v>32</v>
      </c>
      <c r="B34" s="51" t="s">
        <v>40</v>
      </c>
      <c r="C34" s="37" t="s">
        <v>39</v>
      </c>
      <c r="D34" s="47">
        <v>0</v>
      </c>
      <c r="E34" s="53">
        <f>D34+'Materials in'!D35-'Materilas out'!D34</f>
        <v>0</v>
      </c>
    </row>
    <row r="35" ht="28.05" customHeight="1" spans="1:5">
      <c r="A35" s="37">
        <v>33</v>
      </c>
      <c r="B35" s="51" t="s">
        <v>41</v>
      </c>
      <c r="C35" s="37" t="s">
        <v>39</v>
      </c>
      <c r="D35" s="47">
        <v>0</v>
      </c>
      <c r="E35" s="53">
        <f>D35+'Materials in'!D36-'Materilas out'!D35</f>
        <v>0</v>
      </c>
    </row>
    <row r="36" ht="31.05" customHeight="1" spans="1:5">
      <c r="A36" s="37">
        <v>34</v>
      </c>
      <c r="B36" s="51" t="s">
        <v>42</v>
      </c>
      <c r="C36" s="37" t="s">
        <v>39</v>
      </c>
      <c r="D36" s="47">
        <v>0</v>
      </c>
      <c r="E36" s="53">
        <f>D36+'Materials in'!D37-'Materilas out'!D36</f>
        <v>0</v>
      </c>
    </row>
    <row r="37" ht="13.05" customHeight="1" spans="5:5">
      <c r="E37" s="55"/>
    </row>
    <row r="38" ht="13.05" customHeight="1"/>
    <row r="39" ht="13.05" customHeight="1"/>
    <row r="40" ht="13.05" customHeight="1"/>
    <row r="41" ht="13.05" customHeight="1"/>
    <row r="42" ht="13.05" customHeight="1"/>
    <row r="43" ht="13.05" customHeight="1"/>
    <row r="44" ht="13.05" customHeight="1"/>
  </sheetData>
  <protectedRanges>
    <protectedRange sqref="D17" name="区域2"/>
    <protectedRange sqref="D35" name="区域4"/>
  </protectedRanges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6"/>
  <sheetViews>
    <sheetView tabSelected="1" topLeftCell="A36" workbookViewId="0">
      <selection activeCell="L70" sqref="L70"/>
    </sheetView>
  </sheetViews>
  <sheetFormatPr defaultColWidth="9" defaultRowHeight="16.8"/>
  <cols>
    <col min="1" max="1" width="4.77884615384615" customWidth="1"/>
    <col min="2" max="2" width="78.3365384615385" style="19" customWidth="1"/>
    <col min="3" max="3" width="4.66346153846154" customWidth="1"/>
    <col min="4" max="4" width="8.22115384615385" customWidth="1"/>
    <col min="5" max="9" width="5.55769230769231" customWidth="1"/>
    <col min="10" max="13" width="10.1057692307692" customWidth="1"/>
    <col min="14" max="14" width="4.44230769230769" customWidth="1"/>
    <col min="15" max="17" width="10.8461538461538"/>
  </cols>
  <sheetData>
    <row r="1" spans="1:22">
      <c r="A1" s="3" t="s">
        <v>0</v>
      </c>
      <c r="B1" s="20" t="s">
        <v>1</v>
      </c>
      <c r="C1" s="3" t="s">
        <v>2</v>
      </c>
      <c r="D1" s="3" t="s">
        <v>4</v>
      </c>
      <c r="E1" s="32">
        <v>45945</v>
      </c>
      <c r="F1" s="32">
        <v>45946</v>
      </c>
      <c r="G1" s="32">
        <v>45947</v>
      </c>
      <c r="H1" s="32">
        <v>45952</v>
      </c>
      <c r="I1" s="32">
        <v>45957</v>
      </c>
      <c r="J1" s="15">
        <v>45958</v>
      </c>
      <c r="K1" s="15">
        <v>45959</v>
      </c>
      <c r="L1" s="15">
        <v>45960</v>
      </c>
      <c r="M1" s="15">
        <v>45961</v>
      </c>
      <c r="N1" s="15">
        <v>45788</v>
      </c>
      <c r="O1" s="15">
        <v>45973</v>
      </c>
      <c r="P1" s="15">
        <v>45980</v>
      </c>
      <c r="Q1" s="15">
        <v>45980</v>
      </c>
      <c r="R1" s="3" t="s">
        <v>43</v>
      </c>
      <c r="S1" s="3" t="s">
        <v>43</v>
      </c>
      <c r="T1" s="3" t="s">
        <v>43</v>
      </c>
      <c r="U1" s="3" t="s">
        <v>43</v>
      </c>
      <c r="V1" s="3" t="s">
        <v>43</v>
      </c>
    </row>
    <row r="2" spans="1:22">
      <c r="A2" s="3"/>
      <c r="B2" s="20"/>
      <c r="C2" s="3"/>
      <c r="D2" s="3"/>
      <c r="E2" s="32"/>
      <c r="F2" s="32"/>
      <c r="G2" s="32"/>
      <c r="H2" s="32"/>
      <c r="I2" s="3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4">
        <v>1</v>
      </c>
      <c r="B3" s="21" t="s">
        <v>5</v>
      </c>
      <c r="C3" s="4" t="s">
        <v>6</v>
      </c>
      <c r="D3" s="4">
        <f t="shared" ref="D3:D13" si="0">SUM(E3:N3)</f>
        <v>3724</v>
      </c>
      <c r="E3" s="1"/>
      <c r="F3" s="1"/>
      <c r="G3" s="1">
        <v>400</v>
      </c>
      <c r="H3" s="1">
        <v>700</v>
      </c>
      <c r="I3" s="1">
        <v>2000</v>
      </c>
      <c r="J3" s="1"/>
      <c r="K3" s="1"/>
      <c r="L3" s="1"/>
      <c r="M3" s="1">
        <v>624</v>
      </c>
      <c r="N3" s="1"/>
      <c r="O3" s="1"/>
      <c r="P3" s="1"/>
      <c r="Q3" s="1"/>
      <c r="R3" s="1"/>
      <c r="S3" s="1"/>
      <c r="T3" s="1"/>
      <c r="U3" s="1"/>
      <c r="V3" s="1"/>
    </row>
    <row r="4" spans="1:22">
      <c r="A4" s="4">
        <v>2</v>
      </c>
      <c r="B4" s="21" t="s">
        <v>7</v>
      </c>
      <c r="C4" s="4" t="s">
        <v>6</v>
      </c>
      <c r="D4" s="4">
        <f t="shared" si="0"/>
        <v>2600</v>
      </c>
      <c r="E4" s="1"/>
      <c r="F4" s="1"/>
      <c r="G4" s="1">
        <f>400+1100</f>
        <v>1500</v>
      </c>
      <c r="H4" s="1"/>
      <c r="I4" s="1">
        <v>100</v>
      </c>
      <c r="J4" s="1"/>
      <c r="K4" s="1"/>
      <c r="L4" s="1"/>
      <c r="M4" s="1">
        <v>1000</v>
      </c>
      <c r="N4" s="1"/>
      <c r="O4" s="1"/>
      <c r="P4" s="1"/>
      <c r="Q4" s="1"/>
      <c r="R4" s="1"/>
      <c r="S4" s="1"/>
      <c r="T4" s="1"/>
      <c r="U4" s="1"/>
      <c r="V4" s="1"/>
    </row>
    <row r="5" spans="1:22">
      <c r="A5" s="4">
        <v>3</v>
      </c>
      <c r="B5" s="21" t="s">
        <v>8</v>
      </c>
      <c r="C5" s="4" t="s">
        <v>6</v>
      </c>
      <c r="D5" s="4">
        <f t="shared" si="0"/>
        <v>530</v>
      </c>
      <c r="E5" s="1"/>
      <c r="F5" s="1"/>
      <c r="G5" s="1">
        <v>400</v>
      </c>
      <c r="H5" s="1"/>
      <c r="I5" s="1"/>
      <c r="J5" s="1"/>
      <c r="K5" s="1"/>
      <c r="L5" s="1"/>
      <c r="M5" s="1">
        <v>130</v>
      </c>
      <c r="N5" s="1"/>
      <c r="O5" s="1"/>
      <c r="P5" s="1"/>
      <c r="Q5" s="1"/>
      <c r="R5" s="1"/>
      <c r="S5" s="1"/>
      <c r="T5" s="1"/>
      <c r="U5" s="1"/>
      <c r="V5" s="1"/>
    </row>
    <row r="6" spans="1:22">
      <c r="A6" s="4">
        <v>4</v>
      </c>
      <c r="B6" s="21" t="s">
        <v>9</v>
      </c>
      <c r="C6" s="4" t="s">
        <v>6</v>
      </c>
      <c r="D6" s="4">
        <f t="shared" si="0"/>
        <v>88</v>
      </c>
      <c r="E6" s="1"/>
      <c r="F6" s="1"/>
      <c r="G6" s="1"/>
      <c r="H6" s="1"/>
      <c r="I6" s="1"/>
      <c r="J6" s="1"/>
      <c r="K6" s="1"/>
      <c r="L6" s="1"/>
      <c r="M6" s="1">
        <v>88</v>
      </c>
      <c r="N6" s="1"/>
      <c r="O6" s="1"/>
      <c r="P6" s="1"/>
      <c r="Q6" s="1"/>
      <c r="R6" s="1"/>
      <c r="S6" s="1"/>
      <c r="T6" s="1"/>
      <c r="U6" s="1"/>
      <c r="V6" s="1"/>
    </row>
    <row r="7" spans="1:22">
      <c r="A7" s="4">
        <v>5</v>
      </c>
      <c r="B7" s="22" t="s">
        <v>10</v>
      </c>
      <c r="C7" s="4" t="s">
        <v>11</v>
      </c>
      <c r="D7" s="4">
        <f t="shared" si="0"/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4">
        <v>6</v>
      </c>
      <c r="B8" s="21" t="s">
        <v>12</v>
      </c>
      <c r="C8" s="4" t="s">
        <v>13</v>
      </c>
      <c r="D8" s="4">
        <f t="shared" si="0"/>
        <v>102</v>
      </c>
      <c r="E8" s="1"/>
      <c r="F8" s="1"/>
      <c r="G8" s="1"/>
      <c r="H8" s="1"/>
      <c r="I8" s="1"/>
      <c r="J8" s="1"/>
      <c r="K8" s="1">
        <v>102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4">
        <v>7</v>
      </c>
      <c r="B9" s="21" t="s">
        <v>14</v>
      </c>
      <c r="C9" s="4" t="s">
        <v>13</v>
      </c>
      <c r="D9" s="4">
        <f t="shared" si="0"/>
        <v>62</v>
      </c>
      <c r="E9" s="1"/>
      <c r="F9" s="1"/>
      <c r="G9" s="1"/>
      <c r="H9" s="1"/>
      <c r="I9" s="1"/>
      <c r="J9" s="1"/>
      <c r="K9" s="1">
        <v>62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4">
        <v>8</v>
      </c>
      <c r="B10" s="21" t="s">
        <v>15</v>
      </c>
      <c r="C10" s="4" t="s">
        <v>13</v>
      </c>
      <c r="D10" s="4">
        <f t="shared" si="0"/>
        <v>60</v>
      </c>
      <c r="E10" s="1"/>
      <c r="F10" s="1"/>
      <c r="G10" s="1"/>
      <c r="H10" s="1">
        <v>60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4">
        <v>9</v>
      </c>
      <c r="B11" s="21" t="s">
        <v>16</v>
      </c>
      <c r="C11" s="4" t="s">
        <v>13</v>
      </c>
      <c r="D11" s="4">
        <f t="shared" si="0"/>
        <v>36</v>
      </c>
      <c r="E11" s="1"/>
      <c r="F11" s="1"/>
      <c r="G11" s="1"/>
      <c r="H11" s="1">
        <v>16</v>
      </c>
      <c r="I11" s="1"/>
      <c r="J11" s="1"/>
      <c r="K11" s="1"/>
      <c r="L11" s="1"/>
      <c r="M11" s="1">
        <v>20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4">
        <v>10</v>
      </c>
      <c r="B12" s="21" t="s">
        <v>17</v>
      </c>
      <c r="C12" s="4" t="s">
        <v>6</v>
      </c>
      <c r="D12" s="4">
        <f t="shared" si="0"/>
        <v>4000</v>
      </c>
      <c r="E12" s="1"/>
      <c r="F12" s="1"/>
      <c r="G12" s="1"/>
      <c r="H12" s="1"/>
      <c r="I12" s="1">
        <v>2000</v>
      </c>
      <c r="J12" s="1"/>
      <c r="K12" s="1"/>
      <c r="L12" s="1">
        <v>2000</v>
      </c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4">
        <v>11</v>
      </c>
      <c r="B13" s="21" t="s">
        <v>18</v>
      </c>
      <c r="C13" s="4" t="s">
        <v>6</v>
      </c>
      <c r="D13" s="4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4">
        <v>12</v>
      </c>
      <c r="B14" s="21" t="s">
        <v>19</v>
      </c>
      <c r="C14" s="4" t="s">
        <v>6</v>
      </c>
      <c r="D14" s="4">
        <f t="shared" ref="D14:D43" si="1">SUM(E14:N14)</f>
        <v>300</v>
      </c>
      <c r="E14" s="1"/>
      <c r="F14" s="1">
        <v>300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4">
        <v>13</v>
      </c>
      <c r="B15" s="21" t="s">
        <v>20</v>
      </c>
      <c r="C15" s="4" t="s">
        <v>6</v>
      </c>
      <c r="D15" s="4">
        <f t="shared" si="1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4">
        <v>14</v>
      </c>
      <c r="B16" s="21" t="s">
        <v>21</v>
      </c>
      <c r="C16" s="4" t="s">
        <v>6</v>
      </c>
      <c r="D16" s="4">
        <f t="shared" si="1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4">
        <v>15</v>
      </c>
      <c r="B17" s="23" t="s">
        <v>22</v>
      </c>
      <c r="C17" s="4" t="s">
        <v>6</v>
      </c>
      <c r="D17" s="4">
        <f t="shared" si="1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4">
        <v>16</v>
      </c>
      <c r="B18" s="23" t="s">
        <v>44</v>
      </c>
      <c r="C18" s="4" t="s">
        <v>6</v>
      </c>
      <c r="D18" s="4"/>
      <c r="E18" s="1"/>
      <c r="F18" s="1"/>
      <c r="G18" s="1"/>
      <c r="H18" s="1"/>
      <c r="I18" s="1"/>
      <c r="J18" s="1">
        <v>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4">
        <v>17</v>
      </c>
      <c r="B19" s="23" t="s">
        <v>23</v>
      </c>
      <c r="C19" s="4" t="s">
        <v>6</v>
      </c>
      <c r="D19" s="4">
        <f t="shared" si="1"/>
        <v>756</v>
      </c>
      <c r="E19" s="1"/>
      <c r="F19" s="1"/>
      <c r="G19" s="1">
        <v>756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7" spans="1:22">
      <c r="A20" s="4">
        <v>18</v>
      </c>
      <c r="B20" s="24" t="s">
        <v>24</v>
      </c>
      <c r="C20" s="4" t="s">
        <v>6</v>
      </c>
      <c r="D20" s="4">
        <f t="shared" si="1"/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7" spans="1:22">
      <c r="A21" s="4">
        <v>19</v>
      </c>
      <c r="B21" s="25" t="s">
        <v>25</v>
      </c>
      <c r="C21" s="4" t="s">
        <v>6</v>
      </c>
      <c r="D21" s="4">
        <f t="shared" si="1"/>
        <v>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4">
        <v>20</v>
      </c>
      <c r="B22" s="26" t="s">
        <v>26</v>
      </c>
      <c r="C22" s="4" t="s">
        <v>6</v>
      </c>
      <c r="D22" s="4">
        <f t="shared" si="1"/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4">
        <v>21</v>
      </c>
      <c r="B23" s="26" t="s">
        <v>27</v>
      </c>
      <c r="C23" s="4" t="s">
        <v>6</v>
      </c>
      <c r="D23" s="4">
        <f t="shared" si="1"/>
        <v>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4">
        <v>22</v>
      </c>
      <c r="B24" s="26" t="s">
        <v>28</v>
      </c>
      <c r="C24" s="4" t="s">
        <v>6</v>
      </c>
      <c r="D24" s="4">
        <f t="shared" si="1"/>
        <v>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4">
        <v>23</v>
      </c>
      <c r="B25" s="26" t="s">
        <v>29</v>
      </c>
      <c r="C25" s="4" t="s">
        <v>6</v>
      </c>
      <c r="D25" s="4">
        <f t="shared" si="1"/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4">
        <v>24</v>
      </c>
      <c r="B26" s="26" t="s">
        <v>30</v>
      </c>
      <c r="C26" s="4" t="s">
        <v>6</v>
      </c>
      <c r="D26" s="4">
        <f t="shared" si="1"/>
        <v>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4">
        <v>25</v>
      </c>
      <c r="B27" s="23" t="s">
        <v>45</v>
      </c>
      <c r="C27" s="4" t="s">
        <v>6</v>
      </c>
      <c r="D27" s="4">
        <f t="shared" si="1"/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4">
        <v>26</v>
      </c>
      <c r="B28" s="23" t="s">
        <v>46</v>
      </c>
      <c r="C28" s="4" t="s">
        <v>6</v>
      </c>
      <c r="D28" s="4">
        <f t="shared" si="1"/>
        <v>36</v>
      </c>
      <c r="E28" s="1"/>
      <c r="F28" s="1"/>
      <c r="G28" s="1"/>
      <c r="H28" s="1">
        <v>36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4">
        <v>27</v>
      </c>
      <c r="B29" s="23" t="s">
        <v>47</v>
      </c>
      <c r="C29" s="4" t="s">
        <v>6</v>
      </c>
      <c r="D29" s="4">
        <f t="shared" si="1"/>
        <v>155</v>
      </c>
      <c r="E29" s="1">
        <v>155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4">
        <v>28</v>
      </c>
      <c r="B30" s="23" t="s">
        <v>48</v>
      </c>
      <c r="C30" s="4" t="s">
        <v>6</v>
      </c>
      <c r="D30" s="4">
        <f t="shared" si="1"/>
        <v>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="17" customFormat="1" spans="1:22">
      <c r="A31" s="27">
        <v>29</v>
      </c>
      <c r="B31" s="28" t="s">
        <v>35</v>
      </c>
      <c r="C31" s="27" t="s">
        <v>6</v>
      </c>
      <c r="D31" s="27">
        <f t="shared" si="1"/>
        <v>659</v>
      </c>
      <c r="E31" s="33">
        <v>659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 spans="1:22">
      <c r="A32" s="4">
        <v>30</v>
      </c>
      <c r="B32" s="23" t="s">
        <v>36</v>
      </c>
      <c r="C32" s="4" t="s">
        <v>6</v>
      </c>
      <c r="D32" s="4">
        <f t="shared" si="1"/>
        <v>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4">
        <v>31</v>
      </c>
      <c r="B33" s="23" t="s">
        <v>37</v>
      </c>
      <c r="C33" s="4" t="s">
        <v>6</v>
      </c>
      <c r="D33" s="4">
        <f t="shared" si="1"/>
        <v>1680</v>
      </c>
      <c r="E33" s="1">
        <v>1680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34">
      <c r="A34" s="4">
        <v>32</v>
      </c>
      <c r="B34" s="29" t="s">
        <v>38</v>
      </c>
      <c r="C34" s="4" t="s">
        <v>39</v>
      </c>
      <c r="D34" s="4">
        <f t="shared" si="1"/>
        <v>0</v>
      </c>
      <c r="E34" s="1"/>
      <c r="F34" s="1"/>
      <c r="G34" s="1"/>
      <c r="H34" s="1"/>
      <c r="I34" s="1"/>
      <c r="J34" s="1"/>
      <c r="K34" s="1"/>
      <c r="L34" s="1"/>
      <c r="M34" s="4"/>
      <c r="N34" s="29"/>
      <c r="O34" s="4"/>
      <c r="P34" s="4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22">
      <c r="A35" s="4">
        <v>33</v>
      </c>
      <c r="B35" s="29" t="s">
        <v>40</v>
      </c>
      <c r="C35" s="4" t="s">
        <v>39</v>
      </c>
      <c r="D35" s="4">
        <f t="shared" si="1"/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4">
        <v>34</v>
      </c>
      <c r="B36" s="29" t="s">
        <v>41</v>
      </c>
      <c r="C36" s="4" t="s">
        <v>39</v>
      </c>
      <c r="D36" s="4">
        <f t="shared" si="1"/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4">
        <v>35</v>
      </c>
      <c r="B37" s="29" t="s">
        <v>42</v>
      </c>
      <c r="C37" s="4" t="s">
        <v>39</v>
      </c>
      <c r="D37" s="4">
        <f t="shared" si="1"/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4">
        <v>36</v>
      </c>
      <c r="B38" s="29" t="s">
        <v>49</v>
      </c>
      <c r="C38" s="4" t="s">
        <v>39</v>
      </c>
      <c r="D38" s="4">
        <f t="shared" si="1"/>
        <v>2150</v>
      </c>
      <c r="E38" s="1"/>
      <c r="F38" s="1"/>
      <c r="G38" s="1"/>
      <c r="H38" s="1"/>
      <c r="I38" s="1"/>
      <c r="J38" s="1"/>
      <c r="K38" s="1"/>
      <c r="L38" s="1"/>
      <c r="M38" s="1"/>
      <c r="N38" s="1">
        <v>2150</v>
      </c>
      <c r="O38" s="1"/>
      <c r="P38" s="1"/>
      <c r="Q38" s="1"/>
      <c r="R38" s="1"/>
      <c r="S38" s="1"/>
      <c r="T38" s="1"/>
      <c r="U38" s="1"/>
      <c r="V38" s="1"/>
    </row>
    <row r="39" spans="1:22">
      <c r="A39" s="4">
        <v>37</v>
      </c>
      <c r="B39" s="29" t="s">
        <v>50</v>
      </c>
      <c r="C39" s="4" t="s">
        <v>51</v>
      </c>
      <c r="D39" s="4">
        <f t="shared" si="1"/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4">
        <v>38</v>
      </c>
      <c r="B40" s="29" t="s">
        <v>52</v>
      </c>
      <c r="C40" s="4" t="s">
        <v>13</v>
      </c>
      <c r="D40" s="4">
        <f t="shared" si="1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4">
        <v>39</v>
      </c>
      <c r="B41" s="30" t="s">
        <v>53</v>
      </c>
      <c r="C41" s="14" t="s">
        <v>51</v>
      </c>
      <c r="D41" s="14">
        <f t="shared" si="1"/>
        <v>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="18" customFormat="1" spans="1:24">
      <c r="A42" s="4">
        <v>40</v>
      </c>
      <c r="B42" s="29" t="s">
        <v>54</v>
      </c>
      <c r="C42" s="4" t="s">
        <v>55</v>
      </c>
      <c r="D42" s="4">
        <f t="shared" si="1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X42" s="18" t="s">
        <v>56</v>
      </c>
    </row>
    <row r="43" s="18" customFormat="1" spans="1:14">
      <c r="A43" s="4">
        <v>41</v>
      </c>
      <c r="B43" s="31" t="s">
        <v>53</v>
      </c>
      <c r="C43" s="18" t="s">
        <v>51</v>
      </c>
      <c r="D43" s="4">
        <f t="shared" si="1"/>
        <v>207</v>
      </c>
      <c r="N43" s="18">
        <v>207</v>
      </c>
    </row>
    <row r="44" s="18" customFormat="1" spans="1:4">
      <c r="A44" s="4">
        <v>42</v>
      </c>
      <c r="B44" s="31" t="s">
        <v>57</v>
      </c>
      <c r="C44" s="18" t="s">
        <v>58</v>
      </c>
      <c r="D44" s="4">
        <v>124</v>
      </c>
    </row>
    <row r="45" s="18" customFormat="1" spans="1:4">
      <c r="A45" s="4">
        <v>43</v>
      </c>
      <c r="B45" s="31" t="s">
        <v>50</v>
      </c>
      <c r="C45" s="18" t="s">
        <v>58</v>
      </c>
      <c r="D45" s="4">
        <v>30</v>
      </c>
    </row>
    <row r="46" s="18" customFormat="1" spans="1:4">
      <c r="A46" s="4">
        <v>44</v>
      </c>
      <c r="B46" s="31" t="s">
        <v>59</v>
      </c>
      <c r="C46" s="18" t="s">
        <v>13</v>
      </c>
      <c r="D46" s="4">
        <v>16</v>
      </c>
    </row>
    <row r="47" s="18" customFormat="1" spans="1:4">
      <c r="A47" s="4">
        <v>45</v>
      </c>
      <c r="B47" s="29" t="s">
        <v>53</v>
      </c>
      <c r="C47" s="18" t="s">
        <v>6</v>
      </c>
      <c r="D47" s="4">
        <v>54</v>
      </c>
    </row>
    <row r="48" s="18" customFormat="1" spans="1:4">
      <c r="A48" s="4">
        <v>46</v>
      </c>
      <c r="B48" s="31" t="s">
        <v>57</v>
      </c>
      <c r="C48" s="18" t="s">
        <v>60</v>
      </c>
      <c r="D48" s="4">
        <v>33</v>
      </c>
    </row>
    <row r="49" s="18" customFormat="1" spans="1:4">
      <c r="A49" s="4">
        <v>47</v>
      </c>
      <c r="B49" s="31" t="s">
        <v>61</v>
      </c>
      <c r="C49" s="18" t="s">
        <v>51</v>
      </c>
      <c r="D49" s="4">
        <v>30</v>
      </c>
    </row>
    <row r="50" s="18" customFormat="1" spans="1:4">
      <c r="A50" s="4">
        <v>48</v>
      </c>
      <c r="B50" s="31" t="s">
        <v>52</v>
      </c>
      <c r="C50" s="18" t="s">
        <v>55</v>
      </c>
      <c r="D50" s="4">
        <v>16</v>
      </c>
    </row>
    <row r="51" s="18" customFormat="1" spans="1:4">
      <c r="A51" s="4">
        <v>49</v>
      </c>
      <c r="B51" s="31" t="s">
        <v>53</v>
      </c>
      <c r="C51" s="18" t="s">
        <v>6</v>
      </c>
      <c r="D51" s="4">
        <v>54</v>
      </c>
    </row>
    <row r="52" s="18" customFormat="1" spans="1:4">
      <c r="A52" s="4">
        <v>50</v>
      </c>
      <c r="B52" s="31" t="s">
        <v>52</v>
      </c>
      <c r="C52" s="18" t="s">
        <v>55</v>
      </c>
      <c r="D52" s="4">
        <v>33</v>
      </c>
    </row>
    <row r="53" s="18" customFormat="1" spans="1:4">
      <c r="A53" s="4">
        <v>51</v>
      </c>
      <c r="B53" s="31" t="s">
        <v>62</v>
      </c>
      <c r="C53" s="18" t="s">
        <v>6</v>
      </c>
      <c r="D53" s="4">
        <v>1116</v>
      </c>
    </row>
    <row r="54" s="18" customFormat="1" spans="1:4">
      <c r="A54" s="4">
        <v>52</v>
      </c>
      <c r="B54" s="31" t="s">
        <v>63</v>
      </c>
      <c r="C54" s="18" t="s">
        <v>64</v>
      </c>
      <c r="D54" s="18">
        <v>80</v>
      </c>
    </row>
    <row r="55" s="18" customFormat="1" spans="1:4">
      <c r="A55" s="4">
        <v>53</v>
      </c>
      <c r="B55" s="31" t="s">
        <v>65</v>
      </c>
      <c r="C55" s="18" t="s">
        <v>6</v>
      </c>
      <c r="D55" s="18">
        <v>460</v>
      </c>
    </row>
    <row r="56" s="18" customFormat="1" spans="1:4">
      <c r="A56" s="4">
        <v>54</v>
      </c>
      <c r="B56" s="31" t="s">
        <v>62</v>
      </c>
      <c r="C56" s="18" t="s">
        <v>51</v>
      </c>
      <c r="D56" s="18">
        <v>216</v>
      </c>
    </row>
    <row r="57" s="18" customFormat="1" spans="1:4">
      <c r="A57" s="4">
        <v>55</v>
      </c>
      <c r="B57" s="31" t="s">
        <v>66</v>
      </c>
      <c r="C57" s="18" t="s">
        <v>6</v>
      </c>
      <c r="D57" s="18">
        <v>100</v>
      </c>
    </row>
    <row r="58" s="18" customFormat="1" spans="1:4">
      <c r="A58" s="4">
        <v>56</v>
      </c>
      <c r="B58" s="31" t="s">
        <v>67</v>
      </c>
      <c r="C58" s="18" t="s">
        <v>6</v>
      </c>
      <c r="D58" s="18">
        <v>22</v>
      </c>
    </row>
    <row r="59" s="18" customFormat="1" spans="1:4">
      <c r="A59" s="4">
        <v>57</v>
      </c>
      <c r="B59" s="31" t="s">
        <v>68</v>
      </c>
      <c r="C59" s="18" t="s">
        <v>51</v>
      </c>
      <c r="D59" s="18">
        <v>148</v>
      </c>
    </row>
    <row r="60" s="18" customFormat="1" spans="1:4">
      <c r="A60" s="4">
        <v>58</v>
      </c>
      <c r="B60" s="31" t="s">
        <v>69</v>
      </c>
      <c r="C60" s="18" t="s">
        <v>55</v>
      </c>
      <c r="D60" s="18">
        <v>27</v>
      </c>
    </row>
    <row r="61" s="18" customFormat="1" spans="1:4">
      <c r="A61" s="4">
        <v>59</v>
      </c>
      <c r="B61" s="31" t="s">
        <v>70</v>
      </c>
      <c r="C61" s="18" t="s">
        <v>55</v>
      </c>
      <c r="D61" s="18">
        <v>90</v>
      </c>
    </row>
    <row r="62" s="18" customFormat="1" spans="1:4">
      <c r="A62" s="4">
        <v>60</v>
      </c>
      <c r="B62" s="31" t="s">
        <v>71</v>
      </c>
      <c r="C62" s="18" t="s">
        <v>55</v>
      </c>
      <c r="D62" s="18">
        <v>54</v>
      </c>
    </row>
    <row r="63" s="18" customFormat="1" spans="1:4">
      <c r="A63" s="4">
        <v>61</v>
      </c>
      <c r="B63" s="31" t="s">
        <v>72</v>
      </c>
      <c r="C63" s="18" t="s">
        <v>51</v>
      </c>
      <c r="D63" s="18">
        <v>100</v>
      </c>
    </row>
    <row r="64" s="18" customFormat="1" ht="16" customHeight="1" spans="1:4">
      <c r="A64" s="4">
        <v>62</v>
      </c>
      <c r="B64" s="31" t="s">
        <v>73</v>
      </c>
      <c r="C64" s="18" t="s">
        <v>51</v>
      </c>
      <c r="D64" s="18">
        <v>500</v>
      </c>
    </row>
    <row r="65" s="18" customFormat="1" spans="1:4">
      <c r="A65" s="4">
        <v>63</v>
      </c>
      <c r="B65" s="31" t="s">
        <v>66</v>
      </c>
      <c r="C65" s="18" t="s">
        <v>51</v>
      </c>
      <c r="D65" s="18">
        <v>224</v>
      </c>
    </row>
    <row r="66" s="18" customFormat="1" spans="1:4">
      <c r="A66" s="4">
        <v>64</v>
      </c>
      <c r="B66" s="31" t="s">
        <v>73</v>
      </c>
      <c r="C66" s="18" t="s">
        <v>51</v>
      </c>
      <c r="D66" s="18">
        <v>900</v>
      </c>
    </row>
    <row r="67" s="18" customFormat="1" spans="1:4">
      <c r="A67" s="4">
        <v>65</v>
      </c>
      <c r="B67" s="31" t="s">
        <v>65</v>
      </c>
      <c r="C67" s="18" t="s">
        <v>51</v>
      </c>
      <c r="D67" s="18">
        <v>400</v>
      </c>
    </row>
    <row r="68" s="18" customFormat="1" spans="1:4">
      <c r="A68" s="4">
        <v>66</v>
      </c>
      <c r="B68" s="31" t="s">
        <v>74</v>
      </c>
      <c r="C68" s="18" t="s">
        <v>51</v>
      </c>
      <c r="D68" s="18">
        <v>700</v>
      </c>
    </row>
    <row r="69" s="18" customFormat="1" spans="1:4">
      <c r="A69" s="4">
        <v>67</v>
      </c>
      <c r="B69" s="31" t="s">
        <v>65</v>
      </c>
      <c r="C69" s="18" t="s">
        <v>51</v>
      </c>
      <c r="D69" s="18">
        <v>262</v>
      </c>
    </row>
    <row r="70" s="18" customFormat="1" spans="1:4">
      <c r="A70" s="4">
        <v>68</v>
      </c>
      <c r="B70" s="31" t="s">
        <v>75</v>
      </c>
      <c r="C70" s="18" t="s">
        <v>51</v>
      </c>
      <c r="D70" s="18">
        <v>36</v>
      </c>
    </row>
    <row r="71" s="18" customFormat="1" spans="1:15">
      <c r="A71" s="4">
        <v>69</v>
      </c>
      <c r="B71" s="31" t="s">
        <v>76</v>
      </c>
      <c r="C71" s="18" t="s">
        <v>6</v>
      </c>
      <c r="D71" s="18">
        <v>718</v>
      </c>
      <c r="O71" s="18">
        <v>718</v>
      </c>
    </row>
    <row r="72" s="18" customFormat="1" spans="1:15">
      <c r="A72" s="4">
        <v>70</v>
      </c>
      <c r="B72" s="31" t="s">
        <v>77</v>
      </c>
      <c r="C72" s="18" t="s">
        <v>51</v>
      </c>
      <c r="D72" s="18">
        <v>180</v>
      </c>
      <c r="O72" s="18">
        <v>180</v>
      </c>
    </row>
    <row r="73" s="18" customFormat="1" spans="1:16">
      <c r="A73" s="4">
        <v>71</v>
      </c>
      <c r="B73" s="31" t="s">
        <v>78</v>
      </c>
      <c r="C73" s="18" t="s">
        <v>51</v>
      </c>
      <c r="D73" s="18">
        <v>1200</v>
      </c>
      <c r="P73" s="18">
        <v>1200</v>
      </c>
    </row>
    <row r="74" s="18" customFormat="1" spans="1:17">
      <c r="A74" s="4">
        <v>72</v>
      </c>
      <c r="B74" s="31" t="s">
        <v>74</v>
      </c>
      <c r="C74" s="18" t="s">
        <v>6</v>
      </c>
      <c r="D74" s="18">
        <v>1278</v>
      </c>
      <c r="Q74" s="18">
        <v>1278</v>
      </c>
    </row>
    <row r="75" s="18" customFormat="1" spans="1:17">
      <c r="A75" s="4">
        <v>73</v>
      </c>
      <c r="B75" s="31" t="s">
        <v>74</v>
      </c>
      <c r="C75" s="18" t="s">
        <v>6</v>
      </c>
      <c r="D75" s="18">
        <v>1860</v>
      </c>
      <c r="Q75" s="18">
        <v>1860</v>
      </c>
    </row>
    <row r="76" spans="1:17">
      <c r="A76" s="4">
        <v>74</v>
      </c>
      <c r="B76" s="19" t="s">
        <v>68</v>
      </c>
      <c r="C76" t="s">
        <v>51</v>
      </c>
      <c r="D76">
        <v>50</v>
      </c>
      <c r="Q76">
        <v>50</v>
      </c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topLeftCell="A5" workbookViewId="0">
      <selection activeCell="K40" sqref="K40:K43"/>
    </sheetView>
  </sheetViews>
  <sheetFormatPr defaultColWidth="9" defaultRowHeight="16.8"/>
  <cols>
    <col min="1" max="1" width="4.77884615384615" style="2" customWidth="1"/>
    <col min="2" max="2" width="78.3365384615385" style="2" customWidth="1"/>
    <col min="3" max="3" width="4.66346153846154" style="2" customWidth="1"/>
    <col min="4" max="4" width="8.22115384615385" style="2" customWidth="1"/>
    <col min="5" max="9" width="10.1057692307692" style="2" customWidth="1"/>
    <col min="10" max="10" width="4.44230769230769" style="2" customWidth="1"/>
    <col min="11" max="11" width="14.0961538461538" style="2" customWidth="1"/>
    <col min="12" max="12" width="14.8942307692308" style="2" customWidth="1"/>
    <col min="13" max="16384" width="9" style="2"/>
  </cols>
  <sheetData>
    <row r="1" spans="1:15">
      <c r="A1" s="3" t="s">
        <v>0</v>
      </c>
      <c r="B1" s="3" t="s">
        <v>1</v>
      </c>
      <c r="C1" s="3" t="s">
        <v>2</v>
      </c>
      <c r="D1" s="3" t="s">
        <v>4</v>
      </c>
      <c r="E1" s="15">
        <v>45946</v>
      </c>
      <c r="F1" s="15">
        <v>45951</v>
      </c>
      <c r="G1" s="15">
        <v>45952</v>
      </c>
      <c r="H1" s="15">
        <v>45958</v>
      </c>
      <c r="I1" s="15">
        <v>45959</v>
      </c>
      <c r="J1" s="15">
        <v>45968</v>
      </c>
      <c r="K1" s="3" t="s">
        <v>43</v>
      </c>
      <c r="L1" s="3" t="s">
        <v>43</v>
      </c>
      <c r="M1" s="3" t="s">
        <v>43</v>
      </c>
      <c r="N1" s="3" t="s">
        <v>43</v>
      </c>
      <c r="O1" s="3" t="s">
        <v>43</v>
      </c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2">
      <c r="A3" s="4">
        <v>1</v>
      </c>
      <c r="B3" s="5" t="s">
        <v>5</v>
      </c>
      <c r="C3" s="4" t="s">
        <v>6</v>
      </c>
      <c r="D3" s="1">
        <f t="shared" ref="D3:D13" si="0">SUM(E3:L3)</f>
        <v>2650</v>
      </c>
      <c r="E3" s="1"/>
      <c r="F3" s="1"/>
      <c r="G3" s="1">
        <v>1400</v>
      </c>
      <c r="H3" s="1">
        <v>450</v>
      </c>
      <c r="I3" s="1">
        <v>800</v>
      </c>
      <c r="J3" s="1"/>
      <c r="K3" s="1"/>
      <c r="L3" s="1"/>
    </row>
    <row r="4" spans="1:12">
      <c r="A4" s="4">
        <v>2</v>
      </c>
      <c r="B4" s="5" t="s">
        <v>7</v>
      </c>
      <c r="C4" s="4" t="s">
        <v>6</v>
      </c>
      <c r="D4" s="1">
        <f t="shared" si="0"/>
        <v>2750</v>
      </c>
      <c r="E4" s="1"/>
      <c r="F4" s="1"/>
      <c r="G4" s="1">
        <v>200</v>
      </c>
      <c r="H4" s="1">
        <v>50</v>
      </c>
      <c r="I4" s="1">
        <v>2500</v>
      </c>
      <c r="J4" s="1"/>
      <c r="K4" s="1"/>
      <c r="L4" s="1"/>
    </row>
    <row r="5" spans="1:12">
      <c r="A5" s="4">
        <v>3</v>
      </c>
      <c r="B5" s="5" t="s">
        <v>8</v>
      </c>
      <c r="C5" s="4" t="s">
        <v>6</v>
      </c>
      <c r="D5" s="1">
        <f t="shared" si="0"/>
        <v>137</v>
      </c>
      <c r="E5" s="1"/>
      <c r="F5" s="1"/>
      <c r="G5" s="1">
        <v>60</v>
      </c>
      <c r="H5" s="1">
        <v>32</v>
      </c>
      <c r="I5" s="1">
        <v>45</v>
      </c>
      <c r="J5" s="1"/>
      <c r="K5" s="1"/>
      <c r="L5" s="1"/>
    </row>
    <row r="6" spans="1:12">
      <c r="A6" s="4">
        <v>4</v>
      </c>
      <c r="B6" s="5" t="s">
        <v>9</v>
      </c>
      <c r="C6" s="4" t="s">
        <v>6</v>
      </c>
      <c r="D6" s="1">
        <f t="shared" si="0"/>
        <v>0</v>
      </c>
      <c r="E6" s="1"/>
      <c r="F6" s="1"/>
      <c r="G6" s="1"/>
      <c r="H6" s="1"/>
      <c r="I6" s="1"/>
      <c r="J6" s="1"/>
      <c r="K6" s="1"/>
      <c r="L6" s="1"/>
    </row>
    <row r="7" spans="1:12">
      <c r="A7" s="4">
        <v>5</v>
      </c>
      <c r="B7" s="6" t="s">
        <v>10</v>
      </c>
      <c r="C7" s="4" t="s">
        <v>11</v>
      </c>
      <c r="D7" s="1">
        <f t="shared" si="0"/>
        <v>0</v>
      </c>
      <c r="E7" s="1"/>
      <c r="F7" s="1"/>
      <c r="G7" s="1"/>
      <c r="H7" s="1"/>
      <c r="I7" s="1"/>
      <c r="J7" s="1"/>
      <c r="K7" s="1"/>
      <c r="L7" s="1"/>
    </row>
    <row r="8" spans="1:12">
      <c r="A8" s="4">
        <v>6</v>
      </c>
      <c r="B8" s="5" t="s">
        <v>12</v>
      </c>
      <c r="C8" s="4" t="s">
        <v>13</v>
      </c>
      <c r="D8" s="1">
        <f t="shared" si="0"/>
        <v>0</v>
      </c>
      <c r="E8" s="1"/>
      <c r="F8" s="1"/>
      <c r="G8" s="1"/>
      <c r="H8" s="1"/>
      <c r="I8" s="1"/>
      <c r="J8" s="1"/>
      <c r="K8" s="1"/>
      <c r="L8" s="1"/>
    </row>
    <row r="9" spans="1:12">
      <c r="A9" s="4">
        <v>7</v>
      </c>
      <c r="B9" s="5" t="s">
        <v>14</v>
      </c>
      <c r="C9" s="4" t="s">
        <v>13</v>
      </c>
      <c r="D9" s="1">
        <f t="shared" si="0"/>
        <v>0</v>
      </c>
      <c r="E9" s="1"/>
      <c r="F9" s="1"/>
      <c r="G9" s="1"/>
      <c r="H9" s="1"/>
      <c r="I9" s="1"/>
      <c r="J9" s="1"/>
      <c r="K9" s="1"/>
      <c r="L9" s="1"/>
    </row>
    <row r="10" spans="1:12">
      <c r="A10" s="4">
        <v>8</v>
      </c>
      <c r="B10" s="5" t="s">
        <v>15</v>
      </c>
      <c r="C10" s="4" t="s">
        <v>13</v>
      </c>
      <c r="D10" s="1">
        <f t="shared" si="0"/>
        <v>152</v>
      </c>
      <c r="E10" s="1"/>
      <c r="F10" s="1"/>
      <c r="G10" s="1">
        <v>50</v>
      </c>
      <c r="H10" s="1">
        <v>22</v>
      </c>
      <c r="I10" s="1">
        <v>80</v>
      </c>
      <c r="J10" s="1"/>
      <c r="K10" s="1"/>
      <c r="L10" s="1"/>
    </row>
    <row r="11" spans="1:12">
      <c r="A11" s="4">
        <v>9</v>
      </c>
      <c r="B11" s="5" t="s">
        <v>16</v>
      </c>
      <c r="C11" s="4" t="s">
        <v>13</v>
      </c>
      <c r="D11" s="1">
        <f t="shared" si="0"/>
        <v>137</v>
      </c>
      <c r="E11" s="1"/>
      <c r="F11" s="1"/>
      <c r="G11" s="1">
        <v>40</v>
      </c>
      <c r="H11" s="1">
        <v>14</v>
      </c>
      <c r="I11" s="1">
        <v>83</v>
      </c>
      <c r="J11" s="1"/>
      <c r="K11" s="1"/>
      <c r="L11" s="1"/>
    </row>
    <row r="12" spans="1:12">
      <c r="A12" s="4">
        <v>10</v>
      </c>
      <c r="B12" s="5" t="s">
        <v>17</v>
      </c>
      <c r="C12" s="4" t="s">
        <v>6</v>
      </c>
      <c r="D12" s="1">
        <f t="shared" si="0"/>
        <v>3100</v>
      </c>
      <c r="E12" s="1"/>
      <c r="F12" s="1"/>
      <c r="G12" s="1"/>
      <c r="H12" s="1">
        <v>940</v>
      </c>
      <c r="I12" s="1">
        <v>2160</v>
      </c>
      <c r="J12" s="1"/>
      <c r="K12" s="1"/>
      <c r="L12" s="1"/>
    </row>
    <row r="13" spans="1:12">
      <c r="A13" s="4">
        <v>11</v>
      </c>
      <c r="B13" s="5" t="s">
        <v>18</v>
      </c>
      <c r="C13" s="4" t="s">
        <v>6</v>
      </c>
      <c r="D13" s="1">
        <f t="shared" si="0"/>
        <v>3200</v>
      </c>
      <c r="E13" s="1"/>
      <c r="F13" s="1"/>
      <c r="G13" s="1"/>
      <c r="H13" s="1"/>
      <c r="I13" s="1">
        <v>3200</v>
      </c>
      <c r="J13" s="1"/>
      <c r="K13" s="1"/>
      <c r="L13" s="1"/>
    </row>
    <row r="14" spans="1:12">
      <c r="A14" s="4">
        <v>12</v>
      </c>
      <c r="B14" s="5" t="s">
        <v>19</v>
      </c>
      <c r="C14" s="4" t="s">
        <v>6</v>
      </c>
      <c r="D14" s="1">
        <f t="shared" ref="D14:D37" si="1">SUM(E14:L14)</f>
        <v>120</v>
      </c>
      <c r="E14" s="1"/>
      <c r="F14" s="1"/>
      <c r="G14" s="1"/>
      <c r="H14" s="1"/>
      <c r="I14" s="1">
        <v>120</v>
      </c>
      <c r="J14" s="1"/>
      <c r="K14" s="1"/>
      <c r="L14" s="1"/>
    </row>
    <row r="15" spans="1:12">
      <c r="A15" s="4">
        <v>13</v>
      </c>
      <c r="B15" s="5" t="s">
        <v>20</v>
      </c>
      <c r="C15" s="4" t="s">
        <v>6</v>
      </c>
      <c r="D15" s="1">
        <f t="shared" si="1"/>
        <v>0</v>
      </c>
      <c r="E15" s="1"/>
      <c r="F15" s="1"/>
      <c r="G15" s="1"/>
      <c r="H15" s="1"/>
      <c r="I15" s="1"/>
      <c r="J15" s="1"/>
      <c r="K15" s="1"/>
      <c r="L15" s="1"/>
    </row>
    <row r="16" spans="1:12">
      <c r="A16" s="4">
        <v>14</v>
      </c>
      <c r="B16" s="5" t="s">
        <v>21</v>
      </c>
      <c r="C16" s="4" t="s">
        <v>6</v>
      </c>
      <c r="D16" s="1">
        <f t="shared" si="1"/>
        <v>0</v>
      </c>
      <c r="E16" s="1"/>
      <c r="F16" s="1"/>
      <c r="G16" s="1"/>
      <c r="H16" s="1"/>
      <c r="I16" s="1"/>
      <c r="J16" s="1"/>
      <c r="K16" s="1"/>
      <c r="L16" s="1"/>
    </row>
    <row r="17" spans="1:12">
      <c r="A17" s="4">
        <v>15</v>
      </c>
      <c r="B17" s="7" t="s">
        <v>22</v>
      </c>
      <c r="C17" s="4" t="s">
        <v>6</v>
      </c>
      <c r="D17" s="1">
        <f t="shared" si="1"/>
        <v>120</v>
      </c>
      <c r="E17" s="1"/>
      <c r="F17" s="1"/>
      <c r="G17" s="1"/>
      <c r="H17" s="1"/>
      <c r="I17" s="1">
        <v>60</v>
      </c>
      <c r="J17" s="1">
        <v>60</v>
      </c>
      <c r="K17" s="1"/>
      <c r="L17" s="1"/>
    </row>
    <row r="18" spans="1:12">
      <c r="A18" s="4">
        <v>16</v>
      </c>
      <c r="B18" s="7" t="s">
        <v>23</v>
      </c>
      <c r="C18" s="4" t="s">
        <v>6</v>
      </c>
      <c r="D18" s="1">
        <f t="shared" si="1"/>
        <v>0</v>
      </c>
      <c r="E18" s="1"/>
      <c r="F18" s="1"/>
      <c r="G18" s="1"/>
      <c r="H18" s="1"/>
      <c r="I18" s="1"/>
      <c r="J18" s="1"/>
      <c r="K18" s="1"/>
      <c r="L18" s="1"/>
    </row>
    <row r="19" ht="17" spans="1:12">
      <c r="A19" s="4">
        <v>17</v>
      </c>
      <c r="B19" s="8" t="s">
        <v>24</v>
      </c>
      <c r="C19" s="4" t="s">
        <v>6</v>
      </c>
      <c r="D19" s="1">
        <f t="shared" si="1"/>
        <v>50</v>
      </c>
      <c r="E19" s="1"/>
      <c r="F19" s="1"/>
      <c r="G19" s="1"/>
      <c r="H19" s="1"/>
      <c r="I19" s="1">
        <v>50</v>
      </c>
      <c r="J19" s="1"/>
      <c r="K19" s="1"/>
      <c r="L19" s="1"/>
    </row>
    <row r="20" ht="17" spans="1:12">
      <c r="A20" s="4">
        <v>18</v>
      </c>
      <c r="B20" s="9" t="s">
        <v>25</v>
      </c>
      <c r="C20" s="4" t="s">
        <v>6</v>
      </c>
      <c r="D20" s="1">
        <f t="shared" si="1"/>
        <v>0</v>
      </c>
      <c r="E20" s="1"/>
      <c r="F20" s="1"/>
      <c r="G20" s="1"/>
      <c r="H20" s="1"/>
      <c r="I20" s="1"/>
      <c r="J20" s="1"/>
      <c r="K20" s="1"/>
      <c r="L20" s="1"/>
    </row>
    <row r="21" spans="1:12">
      <c r="A21" s="4">
        <v>19</v>
      </c>
      <c r="B21" s="10" t="s">
        <v>26</v>
      </c>
      <c r="C21" s="4" t="s">
        <v>6</v>
      </c>
      <c r="D21" s="1">
        <f t="shared" si="1"/>
        <v>800</v>
      </c>
      <c r="E21" s="1">
        <v>800</v>
      </c>
      <c r="F21" s="1"/>
      <c r="G21" s="1"/>
      <c r="H21" s="1"/>
      <c r="I21" s="1"/>
      <c r="J21" s="1"/>
      <c r="K21" s="1"/>
      <c r="L21" s="1"/>
    </row>
    <row r="22" spans="1:12">
      <c r="A22" s="4">
        <v>20</v>
      </c>
      <c r="B22" s="10" t="s">
        <v>27</v>
      </c>
      <c r="C22" s="4" t="s">
        <v>6</v>
      </c>
      <c r="D22" s="1">
        <f t="shared" si="1"/>
        <v>1000</v>
      </c>
      <c r="E22" s="1"/>
      <c r="F22" s="1">
        <v>1000</v>
      </c>
      <c r="G22" s="1"/>
      <c r="H22" s="1"/>
      <c r="I22" s="1"/>
      <c r="J22" s="1"/>
      <c r="K22" s="1"/>
      <c r="L22" s="1"/>
    </row>
    <row r="23" spans="1:12">
      <c r="A23" s="4">
        <v>21</v>
      </c>
      <c r="B23" s="10" t="s">
        <v>28</v>
      </c>
      <c r="C23" s="4" t="s">
        <v>6</v>
      </c>
      <c r="D23" s="1">
        <f t="shared" si="1"/>
        <v>100</v>
      </c>
      <c r="E23" s="1"/>
      <c r="F23" s="1">
        <v>100</v>
      </c>
      <c r="G23" s="1"/>
      <c r="H23" s="1"/>
      <c r="I23" s="1"/>
      <c r="J23" s="1"/>
      <c r="K23" s="1"/>
      <c r="L23" s="1"/>
    </row>
    <row r="24" spans="1:12">
      <c r="A24" s="4">
        <v>22</v>
      </c>
      <c r="B24" s="10" t="s">
        <v>29</v>
      </c>
      <c r="C24" s="4" t="s">
        <v>6</v>
      </c>
      <c r="D24" s="1">
        <f t="shared" si="1"/>
        <v>135</v>
      </c>
      <c r="E24" s="1"/>
      <c r="F24" s="1">
        <v>135</v>
      </c>
      <c r="G24" s="1"/>
      <c r="H24" s="1"/>
      <c r="I24" s="1"/>
      <c r="J24" s="1"/>
      <c r="K24" s="1"/>
      <c r="L24" s="1"/>
    </row>
    <row r="25" spans="1:12">
      <c r="A25" s="4">
        <v>23</v>
      </c>
      <c r="B25" s="10" t="s">
        <v>30</v>
      </c>
      <c r="C25" s="4" t="s">
        <v>6</v>
      </c>
      <c r="D25" s="1">
        <f t="shared" si="1"/>
        <v>2800</v>
      </c>
      <c r="E25" s="1">
        <v>800</v>
      </c>
      <c r="F25" s="1">
        <v>2000</v>
      </c>
      <c r="G25" s="1"/>
      <c r="H25" s="1"/>
      <c r="I25" s="1"/>
      <c r="J25" s="1"/>
      <c r="K25" s="1"/>
      <c r="L25" s="1"/>
    </row>
    <row r="26" spans="1:12">
      <c r="A26" s="4">
        <v>24</v>
      </c>
      <c r="B26" s="7" t="s">
        <v>45</v>
      </c>
      <c r="C26" s="4" t="s">
        <v>6</v>
      </c>
      <c r="D26" s="1">
        <f t="shared" si="1"/>
        <v>0</v>
      </c>
      <c r="E26" s="1"/>
      <c r="F26" s="1"/>
      <c r="G26" s="1"/>
      <c r="H26" s="1"/>
      <c r="I26" s="1"/>
      <c r="J26" s="1"/>
      <c r="K26" s="1"/>
      <c r="L26" s="1"/>
    </row>
    <row r="27" spans="1:12">
      <c r="A27" s="4">
        <v>25</v>
      </c>
      <c r="B27" s="7" t="s">
        <v>46</v>
      </c>
      <c r="C27" s="4" t="s">
        <v>6</v>
      </c>
      <c r="D27" s="1">
        <f t="shared" si="1"/>
        <v>35</v>
      </c>
      <c r="E27" s="1"/>
      <c r="F27" s="1">
        <v>35</v>
      </c>
      <c r="G27" s="1"/>
      <c r="H27" s="1"/>
      <c r="I27" s="1"/>
      <c r="J27" s="1"/>
      <c r="K27" s="1"/>
      <c r="L27" s="1"/>
    </row>
    <row r="28" spans="1:12">
      <c r="A28" s="4">
        <v>26</v>
      </c>
      <c r="B28" s="7" t="s">
        <v>47</v>
      </c>
      <c r="C28" s="4" t="s">
        <v>6</v>
      </c>
      <c r="D28" s="1">
        <f t="shared" si="1"/>
        <v>155</v>
      </c>
      <c r="E28" s="1">
        <v>45</v>
      </c>
      <c r="F28" s="1">
        <v>110</v>
      </c>
      <c r="G28" s="1"/>
      <c r="H28" s="1"/>
      <c r="I28" s="1"/>
      <c r="J28" s="1"/>
      <c r="K28" s="1"/>
      <c r="L28" s="1"/>
    </row>
    <row r="29" spans="1:12">
      <c r="A29" s="4">
        <v>27</v>
      </c>
      <c r="B29" s="7" t="s">
        <v>48</v>
      </c>
      <c r="C29" s="4" t="s">
        <v>6</v>
      </c>
      <c r="D29" s="1">
        <f t="shared" si="1"/>
        <v>0</v>
      </c>
      <c r="E29" s="1"/>
      <c r="F29" s="1"/>
      <c r="G29" s="1"/>
      <c r="H29" s="1"/>
      <c r="I29" s="1"/>
      <c r="J29" s="1"/>
      <c r="K29" s="1"/>
      <c r="L29" s="1"/>
    </row>
    <row r="30" spans="1:12">
      <c r="A30" s="4">
        <v>28</v>
      </c>
      <c r="B30" s="7" t="s">
        <v>35</v>
      </c>
      <c r="C30" s="4" t="s">
        <v>6</v>
      </c>
      <c r="D30" s="1">
        <f t="shared" si="1"/>
        <v>400</v>
      </c>
      <c r="E30" s="1">
        <v>400</v>
      </c>
      <c r="F30" s="1"/>
      <c r="G30" s="1"/>
      <c r="H30" s="1"/>
      <c r="I30" s="1"/>
      <c r="J30" s="1"/>
      <c r="K30" s="1"/>
      <c r="L30" s="1"/>
    </row>
    <row r="31" spans="1:12">
      <c r="A31" s="4">
        <v>29</v>
      </c>
      <c r="B31" s="7" t="s">
        <v>36</v>
      </c>
      <c r="C31" s="4" t="s">
        <v>6</v>
      </c>
      <c r="D31" s="1">
        <f t="shared" si="1"/>
        <v>0</v>
      </c>
      <c r="E31" s="1"/>
      <c r="F31" s="1"/>
      <c r="G31" s="1"/>
      <c r="H31" s="1"/>
      <c r="I31" s="1"/>
      <c r="J31" s="1"/>
      <c r="K31" s="1"/>
      <c r="L31" s="1"/>
    </row>
    <row r="32" spans="1:12">
      <c r="A32" s="4">
        <v>30</v>
      </c>
      <c r="B32" s="7" t="s">
        <v>37</v>
      </c>
      <c r="C32" s="4" t="s">
        <v>6</v>
      </c>
      <c r="D32" s="1">
        <f t="shared" si="1"/>
        <v>2000</v>
      </c>
      <c r="E32" s="1"/>
      <c r="F32" s="1">
        <v>2000</v>
      </c>
      <c r="G32" s="1"/>
      <c r="H32" s="1"/>
      <c r="I32" s="1"/>
      <c r="J32" s="1"/>
      <c r="K32" s="1"/>
      <c r="L32" s="1"/>
    </row>
    <row r="33" spans="1:12">
      <c r="A33" s="4">
        <v>31</v>
      </c>
      <c r="B33" s="11" t="s">
        <v>38</v>
      </c>
      <c r="C33" s="4" t="s">
        <v>39</v>
      </c>
      <c r="D33" s="1">
        <f t="shared" si="1"/>
        <v>0</v>
      </c>
      <c r="E33" s="1"/>
      <c r="F33" s="1"/>
      <c r="G33" s="1"/>
      <c r="H33" s="1"/>
      <c r="I33" s="1"/>
      <c r="J33" s="1"/>
      <c r="K33" s="1"/>
      <c r="L33" s="1"/>
    </row>
    <row r="34" spans="1:12">
      <c r="A34" s="4">
        <v>32</v>
      </c>
      <c r="B34" s="11" t="s">
        <v>40</v>
      </c>
      <c r="C34" s="4" t="s">
        <v>39</v>
      </c>
      <c r="D34" s="1">
        <f t="shared" si="1"/>
        <v>0</v>
      </c>
      <c r="E34" s="1"/>
      <c r="F34" s="1"/>
      <c r="G34" s="1"/>
      <c r="H34" s="1"/>
      <c r="I34" s="1"/>
      <c r="J34" s="1"/>
      <c r="K34" s="1"/>
      <c r="L34" s="1"/>
    </row>
    <row r="35" spans="1:12">
      <c r="A35" s="4">
        <v>33</v>
      </c>
      <c r="B35" s="11" t="s">
        <v>41</v>
      </c>
      <c r="C35" s="4" t="s">
        <v>39</v>
      </c>
      <c r="D35" s="1">
        <f t="shared" si="1"/>
        <v>0</v>
      </c>
      <c r="E35" s="1"/>
      <c r="F35" s="1"/>
      <c r="G35" s="1"/>
      <c r="H35" s="1"/>
      <c r="I35" s="1"/>
      <c r="J35" s="1"/>
      <c r="K35" s="1"/>
      <c r="L35" s="1"/>
    </row>
    <row r="36" spans="1:12">
      <c r="A36" s="4">
        <v>34</v>
      </c>
      <c r="B36" s="11" t="s">
        <v>42</v>
      </c>
      <c r="C36" s="4" t="s">
        <v>39</v>
      </c>
      <c r="D36" s="1">
        <f t="shared" si="1"/>
        <v>0</v>
      </c>
      <c r="E36" s="1"/>
      <c r="F36" s="1"/>
      <c r="G36" s="1"/>
      <c r="H36" s="1"/>
      <c r="I36" s="1"/>
      <c r="J36" s="1"/>
      <c r="K36" s="1"/>
      <c r="L36" s="1"/>
    </row>
    <row r="37" spans="1:12">
      <c r="A37" s="1">
        <v>35</v>
      </c>
      <c r="B37" s="11" t="s">
        <v>79</v>
      </c>
      <c r="C37" s="4" t="s">
        <v>6</v>
      </c>
      <c r="D37" s="1">
        <f t="shared" si="1"/>
        <v>205</v>
      </c>
      <c r="E37" s="1"/>
      <c r="F37" s="1"/>
      <c r="G37" s="1"/>
      <c r="H37" s="1">
        <v>205</v>
      </c>
      <c r="I37" s="1"/>
      <c r="J37" s="1"/>
      <c r="K37" s="1"/>
      <c r="L37" s="1"/>
    </row>
    <row r="38" spans="1:12">
      <c r="A38" s="12">
        <v>36</v>
      </c>
      <c r="B38" s="13" t="s">
        <v>80</v>
      </c>
      <c r="C38" s="14" t="s">
        <v>6</v>
      </c>
      <c r="D38" s="12">
        <v>2150</v>
      </c>
      <c r="E38" s="12"/>
      <c r="F38" s="12"/>
      <c r="G38" s="12"/>
      <c r="H38" s="12"/>
      <c r="I38" s="12"/>
      <c r="J38" s="12">
        <v>2150</v>
      </c>
      <c r="K38" s="12"/>
      <c r="L38" s="12"/>
    </row>
    <row r="39" s="1" customFormat="1" ht="15" customHeight="1" spans="1:10">
      <c r="A39" s="1">
        <v>37</v>
      </c>
      <c r="B39" s="11" t="s">
        <v>81</v>
      </c>
      <c r="C39" s="4" t="s">
        <v>13</v>
      </c>
      <c r="D39" s="1">
        <v>30</v>
      </c>
      <c r="E39" s="1"/>
      <c r="F39" s="1"/>
      <c r="G39" s="1"/>
      <c r="H39" s="1"/>
      <c r="I39" s="1"/>
      <c r="J39" s="1">
        <v>30</v>
      </c>
    </row>
    <row r="40" s="1" customFormat="1" spans="2:11">
      <c r="B40" s="1" t="s">
        <v>82</v>
      </c>
      <c r="C40" s="1" t="s">
        <v>6</v>
      </c>
      <c r="D40" s="1">
        <v>45</v>
      </c>
      <c r="K40" s="16">
        <v>45974</v>
      </c>
    </row>
    <row r="41" s="1" customFormat="1" spans="2:11">
      <c r="B41" s="1" t="s">
        <v>83</v>
      </c>
      <c r="C41" s="1" t="s">
        <v>6</v>
      </c>
      <c r="D41" s="1">
        <v>202</v>
      </c>
      <c r="K41" s="16">
        <v>45974</v>
      </c>
    </row>
    <row r="42" s="1" customFormat="1" spans="2:11">
      <c r="B42" s="1" t="s">
        <v>84</v>
      </c>
      <c r="C42" s="1" t="s">
        <v>6</v>
      </c>
      <c r="D42" s="1">
        <v>21</v>
      </c>
      <c r="K42" s="16">
        <v>45974</v>
      </c>
    </row>
    <row r="43" s="1" customFormat="1" spans="2:11">
      <c r="B43" s="1" t="s">
        <v>85</v>
      </c>
      <c r="C43" s="1" t="s">
        <v>6</v>
      </c>
      <c r="D43" s="1">
        <v>45</v>
      </c>
      <c r="K43" s="16">
        <v>45974</v>
      </c>
    </row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H12"/>
  <sheetViews>
    <sheetView workbookViewId="0">
      <selection activeCell="A13" sqref="A13"/>
    </sheetView>
  </sheetViews>
  <sheetFormatPr defaultColWidth="8.73076923076923" defaultRowHeight="16.8" outlineLevelCol="7"/>
  <cols>
    <col min="4" max="4" width="29.8173076923077" customWidth="1"/>
    <col min="5" max="5" width="16.2692307692308" customWidth="1"/>
  </cols>
  <sheetData>
    <row r="6" spans="4:8">
      <c r="D6" t="s">
        <v>86</v>
      </c>
      <c r="E6" t="s">
        <v>87</v>
      </c>
      <c r="F6" t="s">
        <v>88</v>
      </c>
      <c r="H6" t="s">
        <v>89</v>
      </c>
    </row>
    <row r="7" spans="4:8">
      <c r="D7" t="s">
        <v>90</v>
      </c>
      <c r="E7" t="s">
        <v>91</v>
      </c>
      <c r="F7" t="s">
        <v>92</v>
      </c>
      <c r="H7" t="s">
        <v>93</v>
      </c>
    </row>
    <row r="8" spans="4:8">
      <c r="D8" t="s">
        <v>94</v>
      </c>
      <c r="E8" t="s">
        <v>95</v>
      </c>
      <c r="F8" t="s">
        <v>96</v>
      </c>
      <c r="H8" t="s">
        <v>97</v>
      </c>
    </row>
    <row r="9" spans="4:8">
      <c r="D9" t="s">
        <v>98</v>
      </c>
      <c r="E9" t="s">
        <v>99</v>
      </c>
      <c r="F9" t="s">
        <v>96</v>
      </c>
      <c r="H9" t="s">
        <v>100</v>
      </c>
    </row>
    <row r="10" spans="4:8">
      <c r="D10" t="s">
        <v>101</v>
      </c>
      <c r="E10" t="s">
        <v>102</v>
      </c>
      <c r="F10" t="s">
        <v>96</v>
      </c>
      <c r="H10" t="s">
        <v>103</v>
      </c>
    </row>
    <row r="11" spans="5:8">
      <c r="E11" t="s">
        <v>104</v>
      </c>
      <c r="F11" t="s">
        <v>96</v>
      </c>
      <c r="H11" t="s">
        <v>105</v>
      </c>
    </row>
    <row r="12" spans="5:8">
      <c r="E12" t="s">
        <v>106</v>
      </c>
      <c r="F12" t="s">
        <v>96</v>
      </c>
      <c r="H12" t="s">
        <v>107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  <arrUserId title="区域4" rangeCreator="" othersAccessPermission="edit"/>
  </rangeList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STOCK</vt:lpstr>
      <vt:lpstr>Materials in</vt:lpstr>
      <vt:lpstr>Materilas out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</dc:creator>
  <cp:lastModifiedBy>bester011</cp:lastModifiedBy>
  <dcterms:created xsi:type="dcterms:W3CDTF">2023-08-14T22:01:00Z</dcterms:created>
  <cp:lastPrinted>2024-03-12T01:07:00Z</cp:lastPrinted>
  <dcterms:modified xsi:type="dcterms:W3CDTF">2025-11-20T08:11:45Z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2923734CE9F5ECAA02AE0D6932B05BC3_43</vt:lpwstr>
  </property>
  <property fmtid="{D5CDD505-2E9C-101B-9397-08002B2CF9AE}" pid="3" name="KSOProductBuildVer">
    <vt:lpwstr>1033-12.1.22533.22533</vt:lpwstr>
  </property>
</Properties>
</file>